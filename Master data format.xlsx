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D9266A1-CDEA-471E-9068-65466AF71739}" xr6:coauthVersionLast="36" xr6:coauthVersionMax="36" xr10:uidLastSave="{00000000-0000-0000-0000-000000000000}"/>
  <bookViews>
    <workbookView xWindow="0" yWindow="0" windowWidth="23040" windowHeight="9060" tabRatio="922" xr2:uid="{00000000-000D-0000-FFFF-FFFF00000000}"/>
  </bookViews>
  <sheets>
    <sheet name="Master Data" sheetId="22" r:id="rId1"/>
  </sheets>
  <definedNames>
    <definedName name="_xlnm._FilterDatabase" localSheetId="0" hidden="1">'Master Data'!$A$1:$GJ$1</definedName>
  </definedNames>
  <calcPr calcId="191029"/>
</workbook>
</file>

<file path=xl/calcChain.xml><?xml version="1.0" encoding="utf-8"?>
<calcChain xmlns="http://schemas.openxmlformats.org/spreadsheetml/2006/main">
  <c r="Y7" i="22" l="1"/>
  <c r="Y6" i="22"/>
  <c r="Y5" i="22"/>
  <c r="Y4" i="22"/>
  <c r="Y3" i="22"/>
  <c r="Y2" i="22"/>
  <c r="A3" i="22"/>
  <c r="A4" i="22" s="1"/>
  <c r="A5" i="22" s="1"/>
  <c r="A6" i="22" s="1"/>
  <c r="A7" i="22" s="1"/>
</calcChain>
</file>

<file path=xl/sharedStrings.xml><?xml version="1.0" encoding="utf-8"?>
<sst xmlns="http://schemas.openxmlformats.org/spreadsheetml/2006/main" count="143" uniqueCount="114">
  <si>
    <t>EDN</t>
  </si>
  <si>
    <t>ESIC NO</t>
  </si>
  <si>
    <t>BANK A/C NO</t>
  </si>
  <si>
    <t>SR. NO</t>
  </si>
  <si>
    <t>NAME OF THE EMPLOYEE</t>
  </si>
  <si>
    <t xml:space="preserve">NAME OF THE FATHER/ HUSBAND  </t>
  </si>
  <si>
    <t>AADHAAR NO</t>
  </si>
  <si>
    <t>IFSC CODE NO</t>
  </si>
  <si>
    <t>BANK BRANCH</t>
  </si>
  <si>
    <t>MONTH &amp; YEAR</t>
  </si>
  <si>
    <t>EMP. ID</t>
  </si>
  <si>
    <t>PF No</t>
  </si>
  <si>
    <t>UAN No</t>
  </si>
  <si>
    <t>CATEGORY</t>
  </si>
  <si>
    <t>DESIGNATION</t>
  </si>
  <si>
    <t>DEPARTMENT</t>
  </si>
  <si>
    <t xml:space="preserve">DUTY </t>
  </si>
  <si>
    <t>OT</t>
  </si>
  <si>
    <t>PAN NO.</t>
  </si>
  <si>
    <t>MOBILE NO.</t>
  </si>
  <si>
    <t>EMAIL ID</t>
  </si>
  <si>
    <t>SEX</t>
  </si>
  <si>
    <t>DATE OF BIRTH</t>
  </si>
  <si>
    <t>DATE OF JOINING</t>
  </si>
  <si>
    <t>BASIC + DA PER DAY</t>
  </si>
  <si>
    <t>GROSS WAGES PER DAYA</t>
  </si>
  <si>
    <t>NAME OF BANK</t>
  </si>
  <si>
    <t>ADDRESS</t>
  </si>
  <si>
    <t>ADDRESS 1</t>
  </si>
  <si>
    <t>DISTRICT</t>
  </si>
  <si>
    <t>STATE</t>
  </si>
  <si>
    <t>PIN CODE</t>
  </si>
  <si>
    <t>DATE OF EXIT</t>
  </si>
  <si>
    <t>OT Rate per Hrs</t>
  </si>
  <si>
    <t>HRA / Allce</t>
  </si>
  <si>
    <t>OT HRS</t>
  </si>
  <si>
    <t>MEDICAL</t>
  </si>
  <si>
    <t>POLICE VERIFICATIN</t>
  </si>
  <si>
    <t>M</t>
  </si>
  <si>
    <t>SHCC-ACG08</t>
  </si>
  <si>
    <t>UTTAR PRADESH</t>
  </si>
  <si>
    <t>12TH</t>
  </si>
  <si>
    <t>BA</t>
  </si>
  <si>
    <t>UN-SKILLED</t>
  </si>
  <si>
    <t>HELPER</t>
  </si>
  <si>
    <t>8TH</t>
  </si>
  <si>
    <t>NGAUR34777180000010024</t>
  </si>
  <si>
    <t>VIPIN KUMAR</t>
  </si>
  <si>
    <t>RAJ KISHOR</t>
  </si>
  <si>
    <t>321401000004490</t>
  </si>
  <si>
    <t>IOBA0003214</t>
  </si>
  <si>
    <t>INDIAN OVERSEAS BANK</t>
  </si>
  <si>
    <t>NATHAN PUR</t>
  </si>
  <si>
    <t>RATANPUR</t>
  </si>
  <si>
    <t>FATEHPUR</t>
  </si>
  <si>
    <t>NGAUR34777180000010028</t>
  </si>
  <si>
    <t>ARBAJ</t>
  </si>
  <si>
    <t>FJSPA8088L</t>
  </si>
  <si>
    <t>35318100012117</t>
  </si>
  <si>
    <t>BHYANA UCHOD</t>
  </si>
  <si>
    <t>UNCHOD</t>
  </si>
  <si>
    <t>BANK OF BARODA</t>
  </si>
  <si>
    <t>SHAJAPUR</t>
  </si>
  <si>
    <t>MADHYA PRADESH</t>
  </si>
  <si>
    <t>SHCC-ACG09</t>
  </si>
  <si>
    <t>SHCC-ACG10</t>
  </si>
  <si>
    <t>SHCC-ACG11</t>
  </si>
  <si>
    <t>NGAUR34777180000010029</t>
  </si>
  <si>
    <t>RAVIKANT BHARTI</t>
  </si>
  <si>
    <t>MUNSHIRAM BHARTI</t>
  </si>
  <si>
    <t>EYIPB9204D</t>
  </si>
  <si>
    <t>33094630619</t>
  </si>
  <si>
    <t>SBIN0000348</t>
  </si>
  <si>
    <t>SBI BANK</t>
  </si>
  <si>
    <t xml:space="preserve">CHHIDWADA CIR </t>
  </si>
  <si>
    <t>DURGA MANDIR KE PASS</t>
  </si>
  <si>
    <t>WARD NO 1JHIRIGA</t>
  </si>
  <si>
    <t>CHHINDWARA</t>
  </si>
  <si>
    <t>NGAUR34777180000010030</t>
  </si>
  <si>
    <t>ARYAN</t>
  </si>
  <si>
    <t>RAM KAILASH</t>
  </si>
  <si>
    <t>GDFPA2667R</t>
  </si>
  <si>
    <t>12668100015487</t>
  </si>
  <si>
    <t>DAHIYAWAN</t>
  </si>
  <si>
    <t>SORAON</t>
  </si>
  <si>
    <t>ALLAHABAD</t>
  </si>
  <si>
    <t>TH</t>
  </si>
  <si>
    <t>AXIS BANK</t>
  </si>
  <si>
    <t>RANJEET KUMAR VISHWAKARMA</t>
  </si>
  <si>
    <t>MITHLESH KUMAR</t>
  </si>
  <si>
    <t>SBIN0002576</t>
  </si>
  <si>
    <t>SBI</t>
  </si>
  <si>
    <t>MANAURI BAZAR</t>
  </si>
  <si>
    <t>SAIYAD SARAVAN</t>
  </si>
  <si>
    <t>SAIYAD SARVAN</t>
  </si>
  <si>
    <t>KAUSHAMBI</t>
  </si>
  <si>
    <t>AKASH PRAJAPATI</t>
  </si>
  <si>
    <t>MORE SINGH PRAJAPATI</t>
  </si>
  <si>
    <t>924010074904314</t>
  </si>
  <si>
    <t>UTIB0005729</t>
  </si>
  <si>
    <t>GHATKOPAR</t>
  </si>
  <si>
    <t>BSNAL OFFICE DAHILAMAU</t>
  </si>
  <si>
    <t>PRATAPGARH</t>
  </si>
  <si>
    <t>NGAUR34777180000010035</t>
  </si>
  <si>
    <t>NGAUR34777180000010033</t>
  </si>
  <si>
    <t>SHCC-ACG02</t>
  </si>
  <si>
    <t>SHCC-ACG03</t>
  </si>
  <si>
    <t>AZAD KHAN+H10</t>
  </si>
  <si>
    <t>BARB0SHUJAP</t>
  </si>
  <si>
    <t>SHUJALPUR</t>
  </si>
  <si>
    <t>CANTEEN</t>
  </si>
  <si>
    <t>MUC</t>
  </si>
  <si>
    <t>PAYABLE DAYS</t>
  </si>
  <si>
    <t>PRESENT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</si>
</sst>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_ "/>
    <numFmt numFmtId="166" formatCode="dd\-mm\-yyyy;@"/>
  </numFmts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9"/>
      <name val="Bookman Old Style"/>
      <family val="1"/>
    </font>
    <font>
      <b/>
      <sz val="9"/>
      <color rgb="FF000000"/>
      <name val="Bookman Old Style"/>
      <family val="1"/>
    </font>
    <font>
      <b/>
      <sz val="9"/>
      <name val="Bookman Old Style"/>
      <family val="1"/>
    </font>
    <font>
      <sz val="9"/>
      <color rgb="FF000000"/>
      <name val="Bookman Old Style"/>
      <family val="1"/>
    </font>
    <font>
      <sz val="9"/>
      <color indexed="8"/>
      <name val="Bookman Old Style"/>
      <family val="1"/>
    </font>
    <font>
      <sz val="9"/>
      <color theme="1"/>
      <name val="Bookman Old Style"/>
      <family val="1"/>
    </font>
    <font>
      <sz val="9"/>
      <color rgb="FFFF0000"/>
      <name val="Bookman Old Style"/>
      <family val="1"/>
    </font>
    <font>
      <b/>
      <sz val="9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Fill="0" applyProtection="0"/>
  </cellStyleXfs>
  <cellXfs count="6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right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6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17" fontId="6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2" fontId="8" fillId="0" borderId="3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0" fillId="3" borderId="1" xfId="0" applyFont="1" applyFill="1" applyBorder="1">
      <alignment vertical="center"/>
    </xf>
    <xf numFmtId="0" fontId="6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3" fillId="3" borderId="0" xfId="0" applyFont="1" applyFill="1">
      <alignment vertical="center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7" fillId="0" borderId="2" xfId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164" fontId="8" fillId="4" borderId="1" xfId="0" applyNumberFormat="1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vertical="center" wrapText="1"/>
    </xf>
    <xf numFmtId="1" fontId="9" fillId="0" borderId="1" xfId="0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top"/>
    </xf>
    <xf numFmtId="0" fontId="4" fillId="0" borderId="4" xfId="0" applyFont="1" applyFill="1" applyBorder="1" applyAlignment="1">
      <alignment horizontal="center" vertical="top" wrapText="1"/>
    </xf>
    <xf numFmtId="0" fontId="3" fillId="0" borderId="4" xfId="0" applyFont="1" applyBorder="1">
      <alignment vertical="center"/>
    </xf>
    <xf numFmtId="164" fontId="6" fillId="0" borderId="1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7" fillId="0" borderId="1" xfId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1048450"/>
  <sheetViews>
    <sheetView tabSelected="1"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J3" sqref="J3"/>
    </sheetView>
  </sheetViews>
  <sheetFormatPr defaultRowHeight="12"/>
  <cols>
    <col min="1" max="1" width="6.88671875" style="37" customWidth="1"/>
    <col min="2" max="2" width="9.6640625" style="37" customWidth="1"/>
    <col min="3" max="3" width="13.33203125" style="37" customWidth="1"/>
    <col min="4" max="4" width="13.88671875" style="37" customWidth="1"/>
    <col min="5" max="5" width="16.5546875" style="37" customWidth="1"/>
    <col min="6" max="6" width="14.5546875" style="37" customWidth="1"/>
    <col min="7" max="7" width="20.5546875" style="37" customWidth="1"/>
    <col min="8" max="8" width="20.33203125" style="37" customWidth="1"/>
    <col min="9" max="9" width="13.33203125" style="37" customWidth="1"/>
    <col min="10" max="10" width="15.5546875" style="37" customWidth="1"/>
    <col min="11" max="11" width="15.77734375" style="37" customWidth="1"/>
    <col min="12" max="13" width="10.77734375" style="37" hidden="1" customWidth="1"/>
    <col min="14" max="14" width="16.77734375" style="37" customWidth="1"/>
    <col min="15" max="15" width="14.77734375" style="37" bestFit="1" customWidth="1"/>
    <col min="16" max="16" width="15.33203125" style="46" customWidth="1"/>
    <col min="17" max="17" width="24.33203125" style="37" customWidth="1"/>
    <col min="18" max="18" width="7.44140625" style="37" bestFit="1" customWidth="1"/>
    <col min="19" max="19" width="15.5546875" style="37" customWidth="1"/>
    <col min="20" max="20" width="11.21875" style="37" customWidth="1"/>
    <col min="21" max="22" width="13.109375" style="37" customWidth="1"/>
    <col min="23" max="27" width="8.5546875" style="37" customWidth="1"/>
    <col min="28" max="28" width="9" style="37" customWidth="1"/>
    <col min="29" max="29" width="8" style="47" customWidth="1"/>
    <col min="30" max="30" width="19.109375" style="37" customWidth="1"/>
    <col min="31" max="31" width="19.88671875" style="37" customWidth="1"/>
    <col min="32" max="32" width="23.33203125" style="37" customWidth="1"/>
    <col min="33" max="33" width="20.5546875" style="37" customWidth="1"/>
    <col min="34" max="34" width="15.77734375" style="37" customWidth="1"/>
    <col min="35" max="35" width="20.5546875" style="37" customWidth="1"/>
    <col min="36" max="36" width="13.6640625" style="37" customWidth="1"/>
    <col min="37" max="38" width="10.5546875" style="37" customWidth="1"/>
    <col min="39" max="39" width="13.21875" style="48" customWidth="1"/>
    <col min="40" max="40" width="2.109375" style="49" customWidth="1"/>
    <col min="41" max="41" width="13.33203125" style="37" customWidth="1"/>
    <col min="42" max="16384" width="8.88671875" style="37"/>
  </cols>
  <sheetData>
    <row r="1" spans="1:176" s="43" customFormat="1" ht="43.2" customHeight="1">
      <c r="A1" s="1" t="s">
        <v>3</v>
      </c>
      <c r="B1" s="1" t="s">
        <v>9</v>
      </c>
      <c r="C1" s="1" t="s">
        <v>10</v>
      </c>
      <c r="D1" s="2" t="s">
        <v>1</v>
      </c>
      <c r="E1" s="1" t="s">
        <v>11</v>
      </c>
      <c r="F1" s="2" t="s">
        <v>12</v>
      </c>
      <c r="G1" s="1" t="s">
        <v>4</v>
      </c>
      <c r="H1" s="1" t="s">
        <v>5</v>
      </c>
      <c r="I1" s="1" t="s">
        <v>13</v>
      </c>
      <c r="J1" s="1" t="s">
        <v>14</v>
      </c>
      <c r="K1" s="2" t="s">
        <v>15</v>
      </c>
      <c r="L1" s="1" t="s">
        <v>16</v>
      </c>
      <c r="M1" s="1" t="s">
        <v>17</v>
      </c>
      <c r="N1" s="3" t="s">
        <v>6</v>
      </c>
      <c r="O1" s="1" t="s">
        <v>18</v>
      </c>
      <c r="P1" s="1" t="s">
        <v>19</v>
      </c>
      <c r="Q1" s="1" t="s">
        <v>2</v>
      </c>
      <c r="R1" s="1" t="s">
        <v>21</v>
      </c>
      <c r="S1" s="1" t="s">
        <v>7</v>
      </c>
      <c r="T1" s="1" t="s">
        <v>20</v>
      </c>
      <c r="U1" s="1" t="s">
        <v>22</v>
      </c>
      <c r="V1" s="1" t="s">
        <v>23</v>
      </c>
      <c r="W1" s="1" t="s">
        <v>24</v>
      </c>
      <c r="X1" s="1" t="s">
        <v>34</v>
      </c>
      <c r="Y1" s="4" t="s">
        <v>25</v>
      </c>
      <c r="Z1" s="4" t="s">
        <v>33</v>
      </c>
      <c r="AA1" s="4" t="s">
        <v>113</v>
      </c>
      <c r="AB1" s="4" t="s">
        <v>112</v>
      </c>
      <c r="AC1" s="4" t="s">
        <v>35</v>
      </c>
      <c r="AD1" s="1" t="s">
        <v>26</v>
      </c>
      <c r="AE1" s="1" t="s">
        <v>8</v>
      </c>
      <c r="AF1" s="5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0</v>
      </c>
      <c r="AL1" s="1" t="s">
        <v>37</v>
      </c>
      <c r="AM1" s="6" t="s">
        <v>36</v>
      </c>
      <c r="AN1" s="41"/>
      <c r="AO1" s="1" t="s">
        <v>32</v>
      </c>
      <c r="AP1" s="59" t="s">
        <v>110</v>
      </c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42"/>
      <c r="FB1" s="42"/>
      <c r="FC1" s="42"/>
      <c r="FD1" s="42"/>
      <c r="FE1" s="42"/>
      <c r="FF1" s="42"/>
      <c r="FG1" s="42"/>
      <c r="FH1" s="42"/>
      <c r="FI1" s="42"/>
      <c r="FJ1" s="42"/>
      <c r="FK1" s="42"/>
      <c r="FL1" s="42"/>
      <c r="FM1" s="42"/>
      <c r="FN1" s="42"/>
      <c r="FO1" s="42"/>
      <c r="FP1" s="42"/>
      <c r="FQ1" s="42"/>
      <c r="FR1" s="42"/>
      <c r="FS1" s="42"/>
      <c r="FT1" s="42"/>
    </row>
    <row r="2" spans="1:176" s="53" customFormat="1" ht="25.05" customHeight="1">
      <c r="A2" s="65">
        <v>1</v>
      </c>
      <c r="B2" s="31">
        <v>45931</v>
      </c>
      <c r="C2" s="54" t="s">
        <v>105</v>
      </c>
      <c r="D2" s="9">
        <v>2505008284</v>
      </c>
      <c r="E2" s="18" t="s">
        <v>104</v>
      </c>
      <c r="F2" s="19">
        <v>101995842642</v>
      </c>
      <c r="G2" s="57" t="s">
        <v>88</v>
      </c>
      <c r="H2" s="11" t="s">
        <v>89</v>
      </c>
      <c r="I2" s="30" t="s">
        <v>43</v>
      </c>
      <c r="J2" s="45" t="s">
        <v>44</v>
      </c>
      <c r="K2" s="55" t="s">
        <v>111</v>
      </c>
      <c r="L2" s="32"/>
      <c r="M2" s="32"/>
      <c r="N2" s="7">
        <v>268801283357</v>
      </c>
      <c r="O2" s="33"/>
      <c r="P2" s="7">
        <v>8354956958</v>
      </c>
      <c r="Q2" s="16">
        <v>36891010868</v>
      </c>
      <c r="R2" s="33" t="s">
        <v>38</v>
      </c>
      <c r="S2" s="13" t="s">
        <v>90</v>
      </c>
      <c r="T2" s="16"/>
      <c r="U2" s="35">
        <v>37987</v>
      </c>
      <c r="V2" s="14">
        <v>45895</v>
      </c>
      <c r="W2" s="36">
        <v>628.46</v>
      </c>
      <c r="X2" s="38">
        <v>31.43</v>
      </c>
      <c r="Y2" s="38">
        <f t="shared" ref="Y2:Y5" si="0">W2+X2</f>
        <v>659.89</v>
      </c>
      <c r="Z2" s="39">
        <v>120</v>
      </c>
      <c r="AA2" s="39">
        <v>23</v>
      </c>
      <c r="AB2" s="56">
        <v>27</v>
      </c>
      <c r="AC2" s="56">
        <v>0</v>
      </c>
      <c r="AD2" s="15" t="s">
        <v>91</v>
      </c>
      <c r="AE2" s="11" t="s">
        <v>92</v>
      </c>
      <c r="AF2" s="13" t="s">
        <v>93</v>
      </c>
      <c r="AG2" s="13" t="s">
        <v>94</v>
      </c>
      <c r="AH2" s="13" t="s">
        <v>95</v>
      </c>
      <c r="AI2" s="13" t="s">
        <v>40</v>
      </c>
      <c r="AJ2" s="16">
        <v>212213</v>
      </c>
      <c r="AK2" s="11" t="s">
        <v>41</v>
      </c>
      <c r="AL2" s="50"/>
      <c r="AM2" s="51"/>
      <c r="AN2" s="41"/>
      <c r="AO2" s="60"/>
      <c r="AP2" s="62">
        <v>790</v>
      </c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</row>
    <row r="3" spans="1:176" s="53" customFormat="1" ht="25.05" customHeight="1">
      <c r="A3" s="65">
        <f t="shared" ref="A3:A7" si="1">A2+1</f>
        <v>2</v>
      </c>
      <c r="B3" s="31">
        <v>45931</v>
      </c>
      <c r="C3" s="54" t="s">
        <v>106</v>
      </c>
      <c r="D3" s="9">
        <v>2505028540</v>
      </c>
      <c r="E3" s="18" t="s">
        <v>103</v>
      </c>
      <c r="F3" s="19">
        <v>102221761347</v>
      </c>
      <c r="G3" s="58" t="s">
        <v>96</v>
      </c>
      <c r="H3" s="11" t="s">
        <v>97</v>
      </c>
      <c r="I3" s="30" t="s">
        <v>43</v>
      </c>
      <c r="J3" s="45" t="s">
        <v>44</v>
      </c>
      <c r="K3" s="55" t="s">
        <v>111</v>
      </c>
      <c r="L3" s="32"/>
      <c r="M3" s="32"/>
      <c r="N3" s="7">
        <v>690352844707</v>
      </c>
      <c r="O3" s="33"/>
      <c r="P3" s="7">
        <v>9616052989</v>
      </c>
      <c r="Q3" s="34" t="s">
        <v>98</v>
      </c>
      <c r="R3" s="33" t="s">
        <v>38</v>
      </c>
      <c r="S3" s="13" t="s">
        <v>99</v>
      </c>
      <c r="T3" s="16"/>
      <c r="U3" s="35">
        <v>38440</v>
      </c>
      <c r="V3" s="14">
        <v>45895</v>
      </c>
      <c r="W3" s="36">
        <v>628.46</v>
      </c>
      <c r="X3" s="38">
        <v>31.43</v>
      </c>
      <c r="Y3" s="38">
        <f t="shared" si="0"/>
        <v>659.89</v>
      </c>
      <c r="Z3" s="39">
        <v>120</v>
      </c>
      <c r="AA3" s="39">
        <v>1</v>
      </c>
      <c r="AB3" s="56">
        <v>1</v>
      </c>
      <c r="AC3" s="56">
        <v>0</v>
      </c>
      <c r="AD3" s="15" t="s">
        <v>87</v>
      </c>
      <c r="AE3" s="15" t="s">
        <v>100</v>
      </c>
      <c r="AF3" s="13" t="s">
        <v>101</v>
      </c>
      <c r="AG3" s="13" t="s">
        <v>102</v>
      </c>
      <c r="AH3" s="13"/>
      <c r="AI3" s="13" t="s">
        <v>40</v>
      </c>
      <c r="AJ3" s="16">
        <v>230001</v>
      </c>
      <c r="AK3" s="11" t="s">
        <v>41</v>
      </c>
      <c r="AL3" s="50"/>
      <c r="AM3" s="51"/>
      <c r="AN3" s="41"/>
      <c r="AO3" s="60"/>
      <c r="AP3" s="62">
        <v>47</v>
      </c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</row>
    <row r="4" spans="1:176" ht="25.05" customHeight="1">
      <c r="A4" s="65">
        <f t="shared" si="1"/>
        <v>3</v>
      </c>
      <c r="B4" s="31">
        <v>45931</v>
      </c>
      <c r="C4" s="54" t="s">
        <v>39</v>
      </c>
      <c r="D4" s="19">
        <v>2505062653</v>
      </c>
      <c r="E4" s="8" t="s">
        <v>46</v>
      </c>
      <c r="F4" s="19">
        <v>102244127821</v>
      </c>
      <c r="G4" s="10" t="s">
        <v>47</v>
      </c>
      <c r="H4" s="12" t="s">
        <v>48</v>
      </c>
      <c r="I4" s="11" t="s">
        <v>43</v>
      </c>
      <c r="J4" s="11" t="s">
        <v>44</v>
      </c>
      <c r="K4" s="55" t="s">
        <v>111</v>
      </c>
      <c r="L4" s="20"/>
      <c r="M4" s="21"/>
      <c r="N4" s="22">
        <v>384882876314</v>
      </c>
      <c r="O4" s="40"/>
      <c r="P4" s="24">
        <v>9336838175</v>
      </c>
      <c r="Q4" s="25" t="s">
        <v>49</v>
      </c>
      <c r="R4" s="24" t="s">
        <v>38</v>
      </c>
      <c r="S4" s="23" t="s">
        <v>50</v>
      </c>
      <c r="T4" s="26"/>
      <c r="U4" s="27">
        <v>37762</v>
      </c>
      <c r="V4" s="14">
        <v>45914</v>
      </c>
      <c r="W4" s="36">
        <v>628.46</v>
      </c>
      <c r="X4" s="38">
        <v>31.43</v>
      </c>
      <c r="Y4" s="38">
        <f t="shared" si="0"/>
        <v>659.89</v>
      </c>
      <c r="Z4" s="39">
        <v>120</v>
      </c>
      <c r="AA4" s="39">
        <v>18</v>
      </c>
      <c r="AB4" s="56">
        <v>21</v>
      </c>
      <c r="AC4" s="56">
        <v>8</v>
      </c>
      <c r="AD4" s="28" t="s">
        <v>51</v>
      </c>
      <c r="AE4" s="12" t="s">
        <v>52</v>
      </c>
      <c r="AF4" s="12" t="s">
        <v>53</v>
      </c>
      <c r="AG4" s="12" t="s">
        <v>53</v>
      </c>
      <c r="AH4" s="12" t="s">
        <v>54</v>
      </c>
      <c r="AI4" s="29" t="s">
        <v>40</v>
      </c>
      <c r="AJ4" s="23">
        <v>212656</v>
      </c>
      <c r="AK4" s="29" t="s">
        <v>41</v>
      </c>
      <c r="AL4" s="29"/>
      <c r="AM4" s="17"/>
      <c r="AN4" s="44"/>
      <c r="AO4" s="61"/>
      <c r="AP4" s="63">
        <v>346</v>
      </c>
    </row>
    <row r="5" spans="1:176" ht="25.05" customHeight="1">
      <c r="A5" s="65">
        <f t="shared" si="1"/>
        <v>4</v>
      </c>
      <c r="B5" s="31">
        <v>45931</v>
      </c>
      <c r="C5" s="54" t="s">
        <v>64</v>
      </c>
      <c r="D5" s="19">
        <v>2505063655</v>
      </c>
      <c r="E5" s="8" t="s">
        <v>55</v>
      </c>
      <c r="F5" s="19">
        <v>102250123493</v>
      </c>
      <c r="G5" s="10" t="s">
        <v>56</v>
      </c>
      <c r="H5" s="12" t="s">
        <v>107</v>
      </c>
      <c r="I5" s="11" t="s">
        <v>43</v>
      </c>
      <c r="J5" s="11" t="s">
        <v>44</v>
      </c>
      <c r="K5" s="55" t="s">
        <v>111</v>
      </c>
      <c r="L5" s="20"/>
      <c r="M5" s="21"/>
      <c r="N5" s="22">
        <v>355827393756</v>
      </c>
      <c r="O5" s="40" t="s">
        <v>57</v>
      </c>
      <c r="P5" s="24">
        <v>8817242473</v>
      </c>
      <c r="Q5" s="25" t="s">
        <v>58</v>
      </c>
      <c r="R5" s="24" t="s">
        <v>38</v>
      </c>
      <c r="S5" s="23" t="s">
        <v>108</v>
      </c>
      <c r="T5" s="26"/>
      <c r="U5" s="27">
        <v>38168</v>
      </c>
      <c r="V5" s="14">
        <v>45917</v>
      </c>
      <c r="W5" s="36">
        <v>628.46</v>
      </c>
      <c r="X5" s="38">
        <v>31.43</v>
      </c>
      <c r="Y5" s="38">
        <f t="shared" si="0"/>
        <v>659.89</v>
      </c>
      <c r="Z5" s="39">
        <v>120</v>
      </c>
      <c r="AA5" s="39">
        <v>25</v>
      </c>
      <c r="AB5" s="56">
        <v>29</v>
      </c>
      <c r="AC5" s="56">
        <v>32</v>
      </c>
      <c r="AD5" s="28" t="s">
        <v>61</v>
      </c>
      <c r="AE5" s="12" t="s">
        <v>109</v>
      </c>
      <c r="AF5" s="28" t="s">
        <v>59</v>
      </c>
      <c r="AG5" s="12" t="s">
        <v>60</v>
      </c>
      <c r="AH5" s="12" t="s">
        <v>62</v>
      </c>
      <c r="AI5" s="29" t="s">
        <v>63</v>
      </c>
      <c r="AJ5" s="23">
        <v>465223</v>
      </c>
      <c r="AK5" s="29" t="s">
        <v>41</v>
      </c>
      <c r="AL5" s="29"/>
      <c r="AM5" s="17"/>
      <c r="AN5" s="44"/>
      <c r="AO5" s="61"/>
      <c r="AP5" s="63">
        <v>680</v>
      </c>
    </row>
    <row r="6" spans="1:176" ht="25.05" customHeight="1">
      <c r="A6" s="65">
        <f t="shared" si="1"/>
        <v>5</v>
      </c>
      <c r="B6" s="31">
        <v>45931</v>
      </c>
      <c r="C6" s="54" t="s">
        <v>65</v>
      </c>
      <c r="D6" s="19">
        <v>2505067526</v>
      </c>
      <c r="E6" s="8" t="s">
        <v>67</v>
      </c>
      <c r="F6" s="19">
        <v>102249890024</v>
      </c>
      <c r="G6" s="10" t="s">
        <v>68</v>
      </c>
      <c r="H6" s="12" t="s">
        <v>69</v>
      </c>
      <c r="I6" s="11" t="s">
        <v>43</v>
      </c>
      <c r="J6" s="11" t="s">
        <v>44</v>
      </c>
      <c r="K6" s="55" t="s">
        <v>111</v>
      </c>
      <c r="L6" s="20"/>
      <c r="M6" s="21"/>
      <c r="N6" s="22">
        <v>270186692200</v>
      </c>
      <c r="O6" s="40" t="s">
        <v>70</v>
      </c>
      <c r="P6" s="24">
        <v>6263098345</v>
      </c>
      <c r="Q6" s="25" t="s">
        <v>71</v>
      </c>
      <c r="R6" s="24" t="s">
        <v>38</v>
      </c>
      <c r="S6" s="23" t="s">
        <v>72</v>
      </c>
      <c r="T6" s="26"/>
      <c r="U6" s="27">
        <v>36285</v>
      </c>
      <c r="V6" s="14">
        <v>45920</v>
      </c>
      <c r="W6" s="36">
        <v>628.46</v>
      </c>
      <c r="X6" s="38">
        <v>31.43</v>
      </c>
      <c r="Y6" s="38">
        <f t="shared" ref="Y6:Y7" si="2">W6+X6</f>
        <v>659.89</v>
      </c>
      <c r="Z6" s="39">
        <v>120</v>
      </c>
      <c r="AA6" s="39">
        <v>25</v>
      </c>
      <c r="AB6" s="56">
        <v>29</v>
      </c>
      <c r="AC6" s="56">
        <v>8</v>
      </c>
      <c r="AD6" s="28" t="s">
        <v>73</v>
      </c>
      <c r="AE6" s="12" t="s">
        <v>74</v>
      </c>
      <c r="AF6" s="12" t="s">
        <v>76</v>
      </c>
      <c r="AG6" s="12" t="s">
        <v>75</v>
      </c>
      <c r="AH6" s="12" t="s">
        <v>77</v>
      </c>
      <c r="AI6" s="29" t="s">
        <v>63</v>
      </c>
      <c r="AJ6" s="23">
        <v>480223</v>
      </c>
      <c r="AK6" s="29" t="s">
        <v>42</v>
      </c>
      <c r="AL6" s="29"/>
      <c r="AM6" s="17"/>
      <c r="AN6" s="44"/>
      <c r="AO6" s="61"/>
      <c r="AP6" s="17">
        <v>546</v>
      </c>
    </row>
    <row r="7" spans="1:176" ht="25.05" customHeight="1">
      <c r="A7" s="65">
        <f t="shared" si="1"/>
        <v>6</v>
      </c>
      <c r="B7" s="31">
        <v>45931</v>
      </c>
      <c r="C7" s="64" t="s">
        <v>66</v>
      </c>
      <c r="D7" s="19">
        <v>2505067530</v>
      </c>
      <c r="E7" s="8" t="s">
        <v>78</v>
      </c>
      <c r="F7" s="19">
        <v>102250179848</v>
      </c>
      <c r="G7" s="10" t="s">
        <v>79</v>
      </c>
      <c r="H7" s="12" t="s">
        <v>80</v>
      </c>
      <c r="I7" s="11" t="s">
        <v>43</v>
      </c>
      <c r="J7" s="11" t="s">
        <v>44</v>
      </c>
      <c r="K7" s="55" t="s">
        <v>111</v>
      </c>
      <c r="L7" s="20"/>
      <c r="M7" s="21"/>
      <c r="N7" s="22">
        <v>792095761988</v>
      </c>
      <c r="O7" s="40" t="s">
        <v>81</v>
      </c>
      <c r="P7" s="24">
        <v>8953184663</v>
      </c>
      <c r="Q7" s="25" t="s">
        <v>82</v>
      </c>
      <c r="R7" s="24" t="s">
        <v>38</v>
      </c>
      <c r="S7" s="23"/>
      <c r="T7" s="26"/>
      <c r="U7" s="27">
        <v>38965</v>
      </c>
      <c r="V7" s="14">
        <v>45922</v>
      </c>
      <c r="W7" s="36">
        <v>628.46</v>
      </c>
      <c r="X7" s="38">
        <v>31.43</v>
      </c>
      <c r="Y7" s="38">
        <f t="shared" si="2"/>
        <v>659.89</v>
      </c>
      <c r="Z7" s="39">
        <v>120</v>
      </c>
      <c r="AA7" s="39">
        <v>4</v>
      </c>
      <c r="AB7" s="56">
        <v>4</v>
      </c>
      <c r="AC7" s="56">
        <v>0</v>
      </c>
      <c r="AD7" s="28" t="s">
        <v>61</v>
      </c>
      <c r="AE7" s="12"/>
      <c r="AF7" s="12" t="s">
        <v>83</v>
      </c>
      <c r="AG7" s="12" t="s">
        <v>84</v>
      </c>
      <c r="AH7" s="12" t="s">
        <v>85</v>
      </c>
      <c r="AI7" s="29" t="s">
        <v>40</v>
      </c>
      <c r="AJ7" s="23">
        <v>212502</v>
      </c>
      <c r="AK7" s="29" t="s">
        <v>45</v>
      </c>
      <c r="AL7" s="29"/>
      <c r="AM7" s="17"/>
      <c r="AN7" s="44"/>
      <c r="AO7" s="61"/>
      <c r="AP7" s="17">
        <v>160</v>
      </c>
    </row>
    <row r="1048450" spans="37:37">
      <c r="AK1048450" s="37" t="s">
        <v>86</v>
      </c>
    </row>
  </sheetData>
  <autoFilter ref="A1:GJ1" xr:uid="{00000000-0009-0000-0000-000000000000}"/>
  <phoneticPr fontId="1" type="noConversion"/>
  <pageMargins left="7.874015748031496E-2" right="3.937007874015748E-2" top="0.78740157480314965" bottom="7.874015748031496E-2" header="0.31496062992125984" footer="0.31496062992125984"/>
  <pageSetup paperSize="9" scale="5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dcterms:created xsi:type="dcterms:W3CDTF">2019-05-19T04:11:35Z</dcterms:created>
  <dcterms:modified xsi:type="dcterms:W3CDTF">2025-11-09T13:52:57Z</dcterms:modified>
</cp:coreProperties>
</file>